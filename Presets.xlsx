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 ns1:r="http://schemas.openxmlformats.org/officeDocument/2006/relationships">
  <ns0:sheets>
    <ns0:sheet name="Presets" sheetId="1" ns1:id="rId1"/>
  </ns0:sheets>
</ns0: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cols>
    <ns0:col min="1" max="1" width="15" customWidth="1"/>
    <ns0:col min="2" max="2" width="8" customWidth="1"/>
    <ns0:col min="3" max="3" width="10" customWidth="1"/>
    <ns0:col min="4" max="4" width="10" customWidth="1"/>
    <ns0:col min="5" max="5" width="10" customWidth="1"/>
    <ns0:col min="6" max="6" width="10" customWidth="1"/>
    <ns0:col min="7" max="7" width="10" customWidth="1"/>
    <ns0:col min="8" max="8" width="10" customWidth="1"/>
  </ns0:cols>
  <ns0:sheetData>
    <ns0:row r="1">
      <ns0:c r="A1" t="inlineStr" s="2">
        <ns0:is>
          <ns0:t>INTENSITY PRESET - Time Scale (per-trigger values, not multipliers)</ns0:t>
        </ns0:is>
      </ns0:c>
    </ns0:row>
    <ns0:row r="2"/>
    <ns0:row r="3">
      <ns0:c r="A3" t="inlineStr" s="4">
        <ns0:is>
          <ns0:t>Trigger</ns0:t>
        </ns0:is>
      </ns0:c>
      <ns0:c r="B3" t="inlineStr" s="4">
        <ns0:is>
          <ns0:t>Subtle</ns0:t>
        </ns0:is>
      </ns0:c>
      <ns0:c r="C3" t="inlineStr" s="4">
        <ns0:is>
          <ns0:t>Standard</ns0:t>
        </ns0:is>
      </ns0:c>
      <ns0:c r="D3" t="inlineStr" s="4">
        <ns0:is>
          <ns0:t>Dramatic</ns0:t>
        </ns0:is>
      </ns0:c>
      <ns0:c r="E3" t="inlineStr" s="4">
        <ns0:is>
          <ns0:t>Cinematic</ns0:t>
        </ns0:is>
      </ns0:c>
      <ns0:c r="F3" t="inlineStr" s="4">
        <ns0:is>
          <ns0:t>Epic</ns0:t>
        </ns0:is>
      </ns0:c>
    </ns0:row>
    <ns0:row r="4">
      <ns0:c r="A4" t="inlineStr" s="0">
        <ns0:is>
          <ns0:t>Parry</ns0:t>
        </ns0:is>
      </ns0:c>
      <ns0:c r="B4" s="0">
        <ns0:v>0.46</ns0:v>
      </ns0:c>
      <ns0:c r="C4" s="0">
        <ns0:v>0.34</ns0:v>
      </ns0:c>
      <ns0:c r="D4" s="0">
        <ns0:v>0.29</ns0:v>
      </ns0:c>
      <ns0:c r="E4" s="0">
        <ns0:v>0.24</ns0:v>
      </ns0:c>
      <ns0:c r="F4" s="0">
        <ns0:v>0.19</ns0:v>
      </ns0:c>
    </ns0:row>
    <ns0:row r="5">
      <ns0:c r="A5" t="inlineStr" s="0">
        <ns0:is>
          <ns0:t>Dismemberment</ns0:t>
        </ns0:is>
      </ns0:c>
      <ns0:c r="B5" s="0">
        <ns0:v>0.42</ns0:v>
      </ns0:c>
      <ns0:c r="C5" s="0">
        <ns0:v>0.3</ns0:v>
      </ns0:c>
      <ns0:c r="D5" s="0">
        <ns0:v>0.25</ns0:v>
      </ns0:c>
      <ns0:c r="E5" s="0">
        <ns0:v>0.2</ns0:v>
      </ns0:c>
      <ns0:c r="F5" s="0">
        <ns0:v>0.15</ns0:v>
      </ns0:c>
    </ns0:row>
    <ns0:row r="6">
      <ns0:c r="A6" t="inlineStr" s="0">
        <ns0:is>
          <ns0:t>Basic Kill</ns0:t>
        </ns0:is>
      </ns0:c>
      <ns0:c r="B6" s="0">
        <ns0:v>0.4</ns0:v>
      </ns0:c>
      <ns0:c r="C6" s="0">
        <ns0:v>0.28</ns0:v>
      </ns0:c>
      <ns0:c r="D6" s="0">
        <ns0:v>0.23</ns0:v>
      </ns0:c>
      <ns0:c r="E6" s="0">
        <ns0:v>0.18</ns0:v>
      </ns0:c>
      <ns0:c r="F6" s="0">
        <ns0:v>0.13</ns0:v>
      </ns0:c>
    </ns0:row>
    <ns0:row r="7">
      <ns0:c r="A7" t="inlineStr" s="0">
        <ns0:is>
          <ns0:t>Last Enemy</ns0:t>
        </ns0:is>
      </ns0:c>
      <ns0:c r="B7" s="0">
        <ns0:v>0.38</ns0:v>
      </ns0:c>
      <ns0:c r="C7" s="0">
        <ns0:v>0.26</ns0:v>
      </ns0:c>
      <ns0:c r="D7" s="0">
        <ns0:v>0.21</ns0:v>
      </ns0:c>
      <ns0:c r="E7" s="0">
        <ns0:v>0.16</ns0:v>
      </ns0:c>
      <ns0:c r="F7" s="0">
        <ns0:v>0.11</ns0:v>
      </ns0:c>
    </ns0:row>
    <ns0:row r="8">
      <ns0:c r="A8" t="inlineStr" s="0">
        <ns0:is>
          <ns0:t>Critical</ns0:t>
        </ns0:is>
      </ns0:c>
      <ns0:c r="B8" s="0">
        <ns0:v>0.37</ns0:v>
      </ns0:c>
      <ns0:c r="C8" s="0">
        <ns0:v>0.25</ns0:v>
      </ns0:c>
      <ns0:c r="D8" s="0">
        <ns0:v>0.2</ns0:v>
      </ns0:c>
      <ns0:c r="E8" s="0">
        <ns0:v>0.15</ns0:v>
      </ns0:c>
      <ns0:c r="F8" s="0">
        <ns0:v>0.1</ns0:v>
      </ns0:c>
    </ns0:row>
    <ns0:row r="9">
      <ns0:c r="A9" t="inlineStr" s="0">
        <ns0:is>
          <ns0:t>Decapitation</ns0:t>
        </ns0:is>
      </ns0:c>
      <ns0:c r="B9" s="0">
        <ns0:v>0.35</ns0:v>
      </ns0:c>
      <ns0:c r="C9" s="0">
        <ns0:v>0.23</ns0:v>
      </ns0:c>
      <ns0:c r="D9" s="0">
        <ns0:v>0.18</ns0:v>
      </ns0:c>
      <ns0:c r="E9" s="0">
        <ns0:v>0.13</ns0:v>
      </ns0:c>
      <ns0:c r="F9" s="0">
        <ns0:v>0.08</ns0:v>
      </ns0:c>
    </ns0:row>
    <ns0:row r="10">
      <ns0:c r="A10" t="inlineStr" s="0">
        <ns0:is>
          <ns0:t>Last Stand</ns0:t>
        </ns0:is>
      </ns0:c>
      <ns0:c r="B10" s="0">
        <ns0:v>0.33</ns0:v>
      </ns0:c>
      <ns0:c r="C10" s="0">
        <ns0:v>0.21</ns0:v>
      </ns0:c>
      <ns0:c r="D10" s="0">
        <ns0:v>0.16</ns0:v>
      </ns0:c>
      <ns0:c r="E10" s="0">
        <ns0:v>0.11</ns0:v>
      </ns0:c>
      <ns0:c r="F10" s="0">
        <ns0:v>0.08</ns0:v>
      </ns0:c>
    </ns0:row>
    <ns0:row r="11"/>
    <ns0:row r="12"/>
    <ns0:row r="13">
      <ns0:c r="A13" t="inlineStr" s="2">
        <ns0:is>
          <ns0:t>DURATION PRESET - Edit multipliers in row below</ns0:t>
        </ns0:is>
      </ns0:c>
    </ns0:row>
    <ns0:row r="14"/>
    <ns0:row r="15">
      <ns0:c r="A15" t="inlineStr" s="4">
        <ns0:is>
          <ns0:t>Multiplier:</ns0:t>
        </ns0:is>
      </ns0:c>
      <ns0:c r="B15" t="inlineStr" s="4">
        <ns0:is>
          <ns0:t>Very Short</ns0:t>
        </ns0:is>
      </ns0:c>
      <ns0:c r="C15" t="inlineStr" s="4">
        <ns0:is>
          <ns0:t>Short</ns0:t>
        </ns0:is>
      </ns0:c>
      <ns0:c r="D15" t="inlineStr" s="4">
        <ns0:is>
          <ns0:t>Standard</ns0:t>
        </ns0:is>
      </ns0:c>
      <ns0:c r="E15" t="inlineStr" s="4">
        <ns0:is>
          <ns0:t>Long</ns0:t>
        </ns0:is>
      </ns0:c>
      <ns0:c r="F15" t="inlineStr" s="4">
        <ns0:is>
          <ns0:t>Extended</ns0:t>
        </ns0:is>
      </ns0:c>
    </ns0:row>
    <ns0:row r="16">
      <ns0:c r="B16" s="0">
        <ns0:v>0.5</ns0:v>
      </ns0:c>
      <ns0:c r="C16" s="0">
        <ns0:v>0.7</ns0:v>
      </ns0:c>
      <ns0:c r="D16" s="0">
        <ns0:v>1.0</ns0:v>
      </ns0:c>
      <ns0:c r="E16" s="0">
        <ns0:v>1.3</ns0:v>
      </ns0:c>
      <ns0:c r="F16" s="0">
        <ns0:v>1.5</ns0:v>
      </ns0:c>
    </ns0:row>
    <ns0:row r="17"/>
    <ns0:row r="18">
      <ns0:c r="A18" t="inlineStr" s="4">
        <ns0:is>
          <ns0:t>Trigger</ns0:t>
        </ns0:is>
      </ns0:c>
      <ns0:c r="B18" t="inlineStr" s="4">
        <ns0:is>
          <ns0:t>Base</ns0:t>
        </ns0:is>
      </ns0:c>
      <ns0:c r="C18" t="inlineStr" s="4">
        <ns0:is>
          <ns0:t>Very Short</ns0:t>
        </ns0:is>
      </ns0:c>
      <ns0:c r="D18" t="inlineStr" s="4">
        <ns0:is>
          <ns0:t>Short</ns0:t>
        </ns0:is>
      </ns0:c>
      <ns0:c r="E18" t="inlineStr" s="4">
        <ns0:is>
          <ns0:t>Standard</ns0:t>
        </ns0:is>
      </ns0:c>
      <ns0:c r="F18" t="inlineStr" s="4">
        <ns0:is>
          <ns0:t>Long</ns0:t>
        </ns0:is>
      </ns0:c>
      <ns0:c r="G18" t="inlineStr" s="4">
        <ns0:is>
          <ns0:t>Extended</ns0:t>
        </ns0:is>
      </ns0:c>
    </ns0:row>
    <ns0:row r="19">
      <ns0:c r="A19" t="inlineStr" s="0">
        <ns0:is>
          <ns0:t>Parry</ns0:t>
        </ns0:is>
      </ns0:c>
      <ns0:c r="B19" s="0">
        <ns0:v>1.5</ns0:v>
      </ns0:c>
      <ns0:c r="C19" s="0">
        <ns0:f>B19*C$16</ns0:f>
      </ns0:c>
      <ns0:c r="D19" s="0">
        <ns0:f>B19*D$16</ns0:f>
      </ns0:c>
      <ns0:c r="E19" s="0">
        <ns0:f>B19*E$16</ns0:f>
      </ns0:c>
      <ns0:c r="F19" s="0">
        <ns0:f>B19*F$16</ns0:f>
      </ns0:c>
      <ns0:c r="G19" s="0">
        <ns0:f>B19*G$16</ns0:f>
      </ns0:c>
    </ns0:row>
    <ns0:row r="20">
      <ns0:c r="A20" t="inlineStr" s="0">
        <ns0:is>
          <ns0:t>Dismemberment</ns0:t>
        </ns0:is>
      </ns0:c>
      <ns0:c r="B20" s="0">
        <ns0:v>2.0</ns0:v>
      </ns0:c>
      <ns0:c r="C20" s="0">
        <ns0:f>B20*C$16</ns0:f>
      </ns0:c>
      <ns0:c r="D20" s="0">
        <ns0:f>B20*D$16</ns0:f>
      </ns0:c>
      <ns0:c r="E20" s="0">
        <ns0:f>B20*E$16</ns0:f>
      </ns0:c>
      <ns0:c r="F20" s="0">
        <ns0:f>B20*F$16</ns0:f>
      </ns0:c>
      <ns0:c r="G20" s="0">
        <ns0:f>B20*G$16</ns0:f>
      </ns0:c>
    </ns0:row>
    <ns0:row r="21">
      <ns0:c r="A21" t="inlineStr" s="0">
        <ns0:is>
          <ns0:t>Basic Kill</ns0:t>
        </ns0:is>
      </ns0:c>
      <ns0:c r="B21" s="0">
        <ns0:v>2.5</ns0:v>
      </ns0:c>
      <ns0:c r="C21" s="0">
        <ns0:f>B21*C$16</ns0:f>
      </ns0:c>
      <ns0:c r="D21" s="0">
        <ns0:f>B21*D$16</ns0:f>
      </ns0:c>
      <ns0:c r="E21" s="0">
        <ns0:f>B21*E$16</ns0:f>
      </ns0:c>
      <ns0:c r="F21" s="0">
        <ns0:f>B21*F$16</ns0:f>
      </ns0:c>
      <ns0:c r="G21" s="0">
        <ns0:f>B21*G$16</ns0:f>
      </ns0:c>
    </ns0:row>
    <ns0:row r="22">
      <ns0:c r="A22" t="inlineStr" s="0">
        <ns0:is>
          <ns0:t>Last Enemy</ns0:t>
        </ns0:is>
      </ns0:c>
      <ns0:c r="B22" s="0">
        <ns0:v>2.75</ns0:v>
      </ns0:c>
      <ns0:c r="C22" s="0">
        <ns0:f>B22*C$16</ns0:f>
      </ns0:c>
      <ns0:c r="D22" s="0">
        <ns0:f>B22*D$16</ns0:f>
      </ns0:c>
      <ns0:c r="E22" s="0">
        <ns0:f>B22*E$16</ns0:f>
      </ns0:c>
      <ns0:c r="F22" s="0">
        <ns0:f>B22*F$16</ns0:f>
      </ns0:c>
      <ns0:c r="G22" s="0">
        <ns0:f>B22*G$16</ns0:f>
      </ns0:c>
    </ns0:row>
    <ns0:row r="23">
      <ns0:c r="A23" t="inlineStr" s="0">
        <ns0:is>
          <ns0:t>Critical</ns0:t>
        </ns0:is>
      </ns0:c>
      <ns0:c r="B23" s="0">
        <ns0:v>3.0</ns0:v>
      </ns0:c>
      <ns0:c r="C23" s="0">
        <ns0:f>B23*C$16</ns0:f>
      </ns0:c>
      <ns0:c r="D23" s="0">
        <ns0:f>B23*D$16</ns0:f>
      </ns0:c>
      <ns0:c r="E23" s="0">
        <ns0:f>B23*E$16</ns0:f>
      </ns0:c>
      <ns0:c r="F23" s="0">
        <ns0:f>B23*F$16</ns0:f>
      </ns0:c>
      <ns0:c r="G23" s="0">
        <ns0:f>B23*G$16</ns0:f>
      </ns0:c>
    </ns0:row>
    <ns0:row r="24">
      <ns0:c r="A24" t="inlineStr" s="0">
        <ns0:is>
          <ns0:t>Decapitation</ns0:t>
        </ns0:is>
      </ns0:c>
      <ns0:c r="B24" s="0">
        <ns0:v>3.25</ns0:v>
      </ns0:c>
      <ns0:c r="C24" s="0">
        <ns0:f>B24*C$16</ns0:f>
      </ns0:c>
      <ns0:c r="D24" s="0">
        <ns0:f>B24*D$16</ns0:f>
      </ns0:c>
      <ns0:c r="E24" s="0">
        <ns0:f>B24*E$16</ns0:f>
      </ns0:c>
      <ns0:c r="F24" s="0">
        <ns0:f>B24*F$16</ns0:f>
      </ns0:c>
      <ns0:c r="G24" s="0">
        <ns0:f>B24*G$16</ns0:f>
      </ns0:c>
    </ns0:row>
    <ns0:row r="25">
      <ns0:c r="A25" t="inlineStr" s="0">
        <ns0:is>
          <ns0:t>Last Stand</ns0:t>
        </ns0:is>
      </ns0:c>
      <ns0:c r="B25" s="0">
        <ns0:v>3.5</ns0:v>
      </ns0:c>
      <ns0:c r="C25" s="0">
        <ns0:f>B25*C$16</ns0:f>
      </ns0:c>
      <ns0:c r="D25" s="0">
        <ns0:f>B25*D$16</ns0:f>
      </ns0:c>
      <ns0:c r="E25" s="0">
        <ns0:f>B25*E$16</ns0:f>
      </ns0:c>
      <ns0:c r="F25" s="0">
        <ns0:f>B25*F$16</ns0:f>
      </ns0:c>
      <ns0:c r="G25" s="0">
        <ns0:f>B25*G$16</ns0:f>
      </ns0:c>
    </ns0:row>
    <ns0:row r="26"/>
    <ns0:row r="27"/>
    <ns0:row r="28">
      <ns0:c r="A28" t="inlineStr" s="2">
        <ns0:is>
          <ns0:t>COOLDOWN PRESET - Edit multipliers in row below</ns0:t>
        </ns0:is>
      </ns0:c>
    </ns0:row>
    <ns0:row r="29"/>
    <ns0:row r="30">
      <ns0:c r="A30" t="inlineStr" s="4">
        <ns0:is>
          <ns0:t>Multiplier:</ns0:t>
        </ns0:is>
      </ns0:c>
      <ns0:c r="B30" t="inlineStr" s="4">
        <ns0:is>
          <ns0:t>Off</ns0:t>
        </ns0:is>
      </ns0:c>
      <ns0:c r="C30" t="inlineStr" s="4">
        <ns0:is>
          <ns0:t>Short</ns0:t>
        </ns0:is>
      </ns0:c>
      <ns0:c r="D30" t="inlineStr" s="4">
        <ns0:is>
          <ns0:t>Standard</ns0:t>
        </ns0:is>
      </ns0:c>
      <ns0:c r="E30" t="inlineStr" s="4">
        <ns0:is>
          <ns0:t>Long</ns0:t>
        </ns0:is>
      </ns0:c>
      <ns0:c r="F30" t="inlineStr" s="4">
        <ns0:is>
          <ns0:t>Extended</ns0:t>
        </ns0:is>
      </ns0:c>
    </ns0:row>
    <ns0:row r="31">
      <ns0:c r="B31" s="0">
        <ns0:v>0</ns0:v>
      </ns0:c>
      <ns0:c r="C31" s="0">
        <ns0:v>0.6</ns0:v>
      </ns0:c>
      <ns0:c r="D31" s="0">
        <ns0:v>1.0</ns0:v>
      </ns0:c>
      <ns0:c r="E31" s="0">
        <ns0:v>2.0</ns0:v>
      </ns0:c>
      <ns0:c r="F31" s="0">
        <ns0:v>3.0</ns0:v>
      </ns0:c>
    </ns0:row>
    <ns0:row r="32"/>
    <ns0:row r="33">
      <ns0:c r="A33" t="inlineStr" s="4">
        <ns0:is>
          <ns0:t>Trigger</ns0:t>
        </ns0:is>
      </ns0:c>
      <ns0:c r="B33" t="inlineStr" s="4">
        <ns0:is>
          <ns0:t>Base</ns0:t>
        </ns0:is>
      </ns0:c>
      <ns0:c r="C33" t="inlineStr" s="4">
        <ns0:is>
          <ns0:t>Off</ns0:t>
        </ns0:is>
      </ns0:c>
      <ns0:c r="D33" t="inlineStr" s="4">
        <ns0:is>
          <ns0:t>Short</ns0:t>
        </ns0:is>
      </ns0:c>
      <ns0:c r="E33" t="inlineStr" s="4">
        <ns0:is>
          <ns0:t>Standard</ns0:t>
        </ns0:is>
      </ns0:c>
      <ns0:c r="F33" t="inlineStr" s="4">
        <ns0:is>
          <ns0:t>Long</ns0:t>
        </ns0:is>
      </ns0:c>
      <ns0:c r="G33" t="inlineStr" s="4">
        <ns0:is>
          <ns0:t>Extended</ns0:t>
        </ns0:is>
      </ns0:c>
    </ns0:row>
    <ns0:row r="34">
      <ns0:c r="A34" t="inlineStr" s="0">
        <ns0:is>
          <ns0:t>Parry</ns0:t>
        </ns0:is>
      </ns0:c>
      <ns0:c r="B34" s="0">
        <ns0:v>5</ns0:v>
      </ns0:c>
      <ns0:c r="C34" s="0">
        <ns0:f>B34*C$31</ns0:f>
      </ns0:c>
      <ns0:c r="D34" s="0">
        <ns0:f>B34*D$31</ns0:f>
      </ns0:c>
      <ns0:c r="E34" s="0">
        <ns0:f>B34*E$31</ns0:f>
      </ns0:c>
      <ns0:c r="F34" s="0">
        <ns0:f>B34*F$31</ns0:f>
      </ns0:c>
      <ns0:c r="G34" s="0">
        <ns0:f>B34*G$31</ns0:f>
      </ns0:c>
    </ns0:row>
    <ns0:row r="35">
      <ns0:c r="A35" t="inlineStr" s="0">
        <ns0:is>
          <ns0:t>Basic Kill</ns0:t>
        </ns0:is>
      </ns0:c>
      <ns0:c r="B35" s="0">
        <ns0:v>10</ns0:v>
      </ns0:c>
      <ns0:c r="C35" s="0">
        <ns0:f>B35*C$31</ns0:f>
      </ns0:c>
      <ns0:c r="D35" s="0">
        <ns0:f>B35*D$31</ns0:f>
      </ns0:c>
      <ns0:c r="E35" s="0">
        <ns0:f>B35*E$31</ns0:f>
      </ns0:c>
      <ns0:c r="F35" s="0">
        <ns0:f>B35*F$31</ns0:f>
      </ns0:c>
      <ns0:c r="G35" s="0">
        <ns0:f>B35*G$31</ns0:f>
      </ns0:c>
    </ns0:row>
    <ns0:row r="36">
      <ns0:c r="A36" t="inlineStr" s="0">
        <ns0:is>
          <ns0:t>Dismemberment</ns0:t>
        </ns0:is>
      </ns0:c>
      <ns0:c r="B36" s="0">
        <ns0:v>10</ns0:v>
      </ns0:c>
      <ns0:c r="C36" s="0">
        <ns0:f>B36*C$31</ns0:f>
      </ns0:c>
      <ns0:c r="D36" s="0">
        <ns0:f>B36*D$31</ns0:f>
      </ns0:c>
      <ns0:c r="E36" s="0">
        <ns0:f>B36*E$31</ns0:f>
      </ns0:c>
      <ns0:c r="F36" s="0">
        <ns0:f>B36*F$31</ns0:f>
      </ns0:c>
      <ns0:c r="G36" s="0">
        <ns0:f>B36*G$31</ns0:f>
      </ns0:c>
    </ns0:row>
    <ns0:row r="37">
      <ns0:c r="A37" t="inlineStr" s="0">
        <ns0:is>
          <ns0:t>Critical</ns0:t>
        </ns0:is>
      </ns0:c>
      <ns0:c r="B37" s="0">
        <ns0:v>10</ns0:v>
      </ns0:c>
      <ns0:c r="C37" s="0">
        <ns0:f>B37*C$31</ns0:f>
      </ns0:c>
      <ns0:c r="D37" s="0">
        <ns0:f>B37*D$31</ns0:f>
      </ns0:c>
      <ns0:c r="E37" s="0">
        <ns0:f>B37*E$31</ns0:f>
      </ns0:c>
      <ns0:c r="F37" s="0">
        <ns0:f>B37*F$31</ns0:f>
      </ns0:c>
      <ns0:c r="G37" s="0">
        <ns0:f>B37*G$31</ns0:f>
      </ns0:c>
    </ns0:row>
    <ns0:row r="38">
      <ns0:c r="A38" t="inlineStr" s="0">
        <ns0:is>
          <ns0:t>Decapitation</ns0:t>
        </ns0:is>
      </ns0:c>
      <ns0:c r="B38" s="0">
        <ns0:v>10</ns0:v>
      </ns0:c>
      <ns0:c r="C38" s="0">
        <ns0:f>B38*C$31</ns0:f>
      </ns0:c>
      <ns0:c r="D38" s="0">
        <ns0:f>B38*D$31</ns0:f>
      </ns0:c>
      <ns0:c r="E38" s="0">
        <ns0:f>B38*E$31</ns0:f>
      </ns0:c>
      <ns0:c r="F38" s="0">
        <ns0:f>B38*F$31</ns0:f>
      </ns0:c>
      <ns0:c r="G38" s="0">
        <ns0:f>B38*G$31</ns0:f>
      </ns0:c>
    </ns0:row>
    <ns0:row r="39">
      <ns0:c r="A39" t="inlineStr" s="0">
        <ns0:is>
          <ns0:t>Last Enemy</ns0:t>
        </ns0:is>
      </ns0:c>
      <ns0:c r="B39" s="0">
        <ns0:v>20</ns0:v>
      </ns0:c>
      <ns0:c r="C39" s="0">
        <ns0:f>B39*C$31</ns0:f>
      </ns0:c>
      <ns0:c r="D39" s="0">
        <ns0:f>B39*D$31</ns0:f>
      </ns0:c>
      <ns0:c r="E39" s="0">
        <ns0:f>B39*E$31</ns0:f>
      </ns0:c>
      <ns0:c r="F39" s="0">
        <ns0:f>B39*F$31</ns0:f>
      </ns0:c>
      <ns0:c r="G39" s="0">
        <ns0:f>B39*G$31</ns0:f>
      </ns0:c>
    </ns0:row>
    <ns0:row r="40">
      <ns0:c r="A40" t="inlineStr" s="0">
        <ns0:is>
          <ns0:t>Last Stand</ns0:t>
        </ns0:is>
      </ns0:c>
      <ns0:c r="B40" s="0">
        <ns0:v>60</ns0:v>
      </ns0:c>
      <ns0:c r="C40" s="0">
        <ns0:f>B40*C$31</ns0:f>
      </ns0:c>
      <ns0:c r="D40" s="0">
        <ns0:f>B40*D$31</ns0:f>
      </ns0:c>
      <ns0:c r="E40" s="0">
        <ns0:f>B40*E$31</ns0:f>
      </ns0:c>
      <ns0:c r="F40" s="0">
        <ns0:f>B40*F$31</ns0:f>
      </ns0:c>
      <ns0:c r="G40" s="0">
        <ns0:f>B40*G$31</ns0:f>
      </ns0:c>
    </ns0:row>
    <ns0:row r="41"/>
    <ns0:row r="42"/>
    <ns0:row r="43">
      <ns0:c r="A43" t="inlineStr" s="2">
        <ns0:is>
          <ns0:t>CHANCE PRESET - Edit multipliers in row below (Off = always 100%)</ns0:t>
        </ns0:is>
      </ns0:c>
    </ns0:row>
    <ns0:row r="44"/>
    <ns0:row r="45">
      <ns0:c r="A45" t="inlineStr" s="4">
        <ns0:is>
          <ns0:t>Multiplier:</ns0:t>
        </ns0:is>
      </ns0:c>
      <ns0:c r="B45" t="inlineStr" s="4">
        <ns0:is>
          <ns0:t>Off</ns0:t>
        </ns0:is>
      </ns0:c>
      <ns0:c r="C45" t="inlineStr" s="4">
        <ns0:is>
          <ns0:t>Very Rare</ns0:t>
        </ns0:is>
      </ns0:c>
      <ns0:c r="D45" t="inlineStr" s="4">
        <ns0:is>
          <ns0:t>Rare</ns0:t>
        </ns0:is>
      </ns0:c>
      <ns0:c r="E45" t="inlineStr" s="4">
        <ns0:is>
          <ns0:t>Standard</ns0:t>
        </ns0:is>
      </ns0:c>
      <ns0:c r="F45" t="inlineStr" s="4">
        <ns0:is>
          <ns0:t>Frequent</ns0:t>
        </ns0:is>
      </ns0:c>
    </ns0:row>
    <ns0:row r="46">
      <ns0:c r="B46" s="0">
        <ns0:v>1.0</ns0:v>
      </ns0:c>
      <ns0:c r="C46" s="0">
        <ns0:v>0.5</ns0:v>
      </ns0:c>
      <ns0:c r="D46" s="0">
        <ns0:v>0.6</ns0:v>
      </ns0:c>
      <ns0:c r="E46" s="0">
        <ns0:v>1.0</ns0:v>
      </ns0:c>
      <ns0:c r="F46" s="0">
        <ns0:v>1.4</ns0:v>
      </ns0:c>
    </ns0:row>
    <ns0:row r="47"/>
    <ns0:row r="48">
      <ns0:c r="A48" t="inlineStr" s="4">
        <ns0:is>
          <ns0:t>Trigger</ns0:t>
        </ns0:is>
      </ns0:c>
      <ns0:c r="B48" t="inlineStr" s="4">
        <ns0:is>
          <ns0:t>Base</ns0:t>
        </ns0:is>
      </ns0:c>
      <ns0:c r="C48" t="inlineStr" s="4">
        <ns0:is>
          <ns0:t>Off</ns0:t>
        </ns0:is>
      </ns0:c>
      <ns0:c r="D48" t="inlineStr" s="4">
        <ns0:is>
          <ns0:t>Very Rare</ns0:t>
        </ns0:is>
      </ns0:c>
      <ns0:c r="E48" t="inlineStr" s="4">
        <ns0:is>
          <ns0:t>Rare</ns0:t>
        </ns0:is>
      </ns0:c>
      <ns0:c r="F48" t="inlineStr" s="4">
        <ns0:is>
          <ns0:t>Standard</ns0:t>
        </ns0:is>
      </ns0:c>
      <ns0:c r="G48" t="inlineStr" s="4">
        <ns0:is>
          <ns0:t>Frequent</ns0:t>
        </ns0:is>
      </ns0:c>
    </ns0:row>
    <ns0:row r="49">
      <ns0:c r="A49" t="inlineStr" s="0">
        <ns0:is>
          <ns0:t>Basic Kill</ns0:t>
        </ns0:is>
      </ns0:c>
      <ns0:c r="B49" s="0">
        <ns0:v>0.25</ns0:v>
      </ns0:c>
      <ns0:c r="C49" s="0">
        <ns0:f>1</ns0:f>
      </ns0:c>
      <ns0:c r="D49" s="0">
        <ns0:f>MIN(B49*D$46,1)</ns0:f>
      </ns0:c>
      <ns0:c r="E49" s="0">
        <ns0:f>MIN(B49*E$46,1)</ns0:f>
      </ns0:c>
      <ns0:c r="F49" s="0">
        <ns0:f>MIN(B49*F$46,1)</ns0:f>
      </ns0:c>
      <ns0:c r="G49" s="0">
        <ns0:f>MIN(B49*G$46,1)</ns0:f>
      </ns0:c>
    </ns0:row>
    <ns0:row r="50">
      <ns0:c r="A50" t="inlineStr" s="0">
        <ns0:is>
          <ns0:t>Parry</ns0:t>
        </ns0:is>
      </ns0:c>
      <ns0:c r="B50" s="0">
        <ns0:v>0.5</ns0:v>
      </ns0:c>
      <ns0:c r="C50" s="0">
        <ns0:f>1</ns0:f>
      </ns0:c>
      <ns0:c r="D50" s="0">
        <ns0:f>MIN(B50*D$46,1)</ns0:f>
      </ns0:c>
      <ns0:c r="E50" s="0">
        <ns0:f>MIN(B50*E$46,1)</ns0:f>
      </ns0:c>
      <ns0:c r="F50" s="0">
        <ns0:f>MIN(B50*F$46,1)</ns0:f>
      </ns0:c>
      <ns0:c r="G50" s="0">
        <ns0:f>MIN(B50*G$46,1)</ns0:f>
      </ns0:c>
    </ns0:row>
    <ns0:row r="51">
      <ns0:c r="A51" t="inlineStr" s="0">
        <ns0:is>
          <ns0:t>Dismemberment</ns0:t>
        </ns0:is>
      </ns0:c>
      <ns0:c r="B51" s="0">
        <ns0:v>0.6</ns0:v>
      </ns0:c>
      <ns0:c r="C51" s="0">
        <ns0:f>1</ns0:f>
      </ns0:c>
      <ns0:c r="D51" s="0">
        <ns0:f>MIN(B51*D$46,1)</ns0:f>
      </ns0:c>
      <ns0:c r="E51" s="0">
        <ns0:f>MIN(B51*E$46,1)</ns0:f>
      </ns0:c>
      <ns0:c r="F51" s="0">
        <ns0:f>MIN(B51*F$46,1)</ns0:f>
      </ns0:c>
      <ns0:c r="G51" s="0">
        <ns0:f>MIN(B51*G$46,1)</ns0:f>
      </ns0:c>
    </ns0:row>
    <ns0:row r="52">
      <ns0:c r="A52" t="inlineStr" s="0">
        <ns0:is>
          <ns0:t>Critical</ns0:t>
        </ns0:is>
      </ns0:c>
      <ns0:c r="B52" s="0">
        <ns0:v>0.75</ns0:v>
      </ns0:c>
      <ns0:c r="C52" s="0">
        <ns0:f>1</ns0:f>
      </ns0:c>
      <ns0:c r="D52" s="0">
        <ns0:f>MIN(B52*D$46,1)</ns0:f>
      </ns0:c>
      <ns0:c r="E52" s="0">
        <ns0:f>MIN(B52*E$46,1)</ns0:f>
      </ns0:c>
      <ns0:c r="F52" s="0">
        <ns0:f>MIN(B52*F$46,1)</ns0:f>
      </ns0:c>
      <ns0:c r="G52" s="0">
        <ns0:f>MIN(B52*G$46,1)</ns0:f>
      </ns0:c>
    </ns0:row>
    <ns0:row r="53">
      <ns0:c r="A53" t="inlineStr" s="0">
        <ns0:is>
          <ns0:t>Decapitation</ns0:t>
        </ns0:is>
      </ns0:c>
      <ns0:c r="B53" s="0">
        <ns0:v>0.9</ns0:v>
      </ns0:c>
      <ns0:c r="C53" s="0">
        <ns0:f>1</ns0:f>
      </ns0:c>
      <ns0:c r="D53" s="0">
        <ns0:f>MIN(B53*D$46,1)</ns0:f>
      </ns0:c>
      <ns0:c r="E53" s="0">
        <ns0:f>MIN(B53*E$46,1)</ns0:f>
      </ns0:c>
      <ns0:c r="F53" s="0">
        <ns0:f>MIN(B53*F$46,1)</ns0:f>
      </ns0:c>
      <ns0:c r="G53" s="0">
        <ns0:f>MIN(B53*G$46,1)</ns0:f>
      </ns0:c>
    </ns0:row>
    <ns0:row r="54">
      <ns0:c r="A54" t="inlineStr" s="0">
        <ns0:is>
          <ns0:t>Last Enemy</ns0:t>
        </ns0:is>
      </ns0:c>
      <ns0:c r="B54" s="0">
        <ns0:v>1.0</ns0:v>
      </ns0:c>
      <ns0:c r="C54" s="0">
        <ns0:f>1</ns0:f>
      </ns0:c>
      <ns0:c r="D54" s="0">
        <ns0:f>MIN(B54*D$46,1)</ns0:f>
      </ns0:c>
      <ns0:c r="E54" s="0">
        <ns0:f>MIN(B54*E$46,1)</ns0:f>
      </ns0:c>
      <ns0:c r="F54" s="0">
        <ns0:f>MIN(B54*F$46,1)</ns0:f>
      </ns0:c>
      <ns0:c r="G54" s="0">
        <ns0:f>MIN(B54*G$46,1)</ns0:f>
      </ns0:c>
    </ns0:row>
    <ns0:row r="55">
      <ns0:c r="A55" t="inlineStr" s="0">
        <ns0:is>
          <ns0:t>Last Stand</ns0:t>
        </ns0:is>
      </ns0:c>
      <ns0:c r="B55" s="0">
        <ns0:v>1.0</ns0:v>
      </ns0:c>
      <ns0:c r="C55" s="0">
        <ns0:f>1</ns0:f>
      </ns0:c>
      <ns0:c r="D55" s="0">
        <ns0:f>MIN(B55*D$46,1)</ns0:f>
      </ns0:c>
      <ns0:c r="E55" s="0">
        <ns0:f>MIN(B55*E$46,1)</ns0:f>
      </ns0:c>
      <ns0:c r="F55" s="0">
        <ns0:f>MIN(B55*F$46,1)</ns0:f>
      </ns0:c>
      <ns0:c r="G55" s="0">
        <ns0:f>MIN(B55*G$46,1)</ns0:f>
      </ns0:c>
    </ns0:row>
    <ns0:row r="56"/>
    <ns0:row r="57"/>
    <ns0:row r="58">
      <ns0:c r="A58" t="inlineStr" s="2">
        <ns0:is>
          <ns0:t>FADE PRESETS - Smoothing Percentages</ns0:t>
        </ns0:is>
      </ns0:c>
    </ns0:row>
    <ns0:row r="59"/>
    <ns0:row r="60">
      <ns0:c r="A60" t="inlineStr" s="4">
        <ns0:is>
          <ns0:t>Preset</ns0:t>
        </ns0:is>
      </ns0:c>
      <ns0:c r="B60" t="inlineStr" s="4">
        <ns0:is>
          <ns0:t>Smoothing %</ns0:t>
        </ns0:is>
      </ns0:c>
      <ns0:c r="C60" t="inlineStr" s="4">
        <ns0:is>
          <ns0:t>Description</ns0:t>
        </ns0:is>
      </ns0:c>
    </ns0:row>
    <ns0:row r="61">
      <ns0:c r="A61" t="inlineStr" s="0">
        <ns0:is>
          <ns0:t>Instant</ns0:t>
        </ns0:is>
      </ns0:c>
      <ns0:c r="B61" s="0">
        <ns0:v>0.0</ns0:v>
      </ns0:c>
      <ns0:c r="C61" t="inlineStr" s="0">
        <ns0:is>
          <ns0:t>No transition, immediate</ns0:t>
        </ns0:is>
      </ns0:c>
    </ns0:row>
    <ns0:row r="62">
      <ns0:c r="A62" t="inlineStr" s="0">
        <ns0:is>
          <ns0:t>Default</ns0:t>
        </ns0:is>
      </ns0:c>
      <ns0:c r="B62" s="0">
        <ns0:v>0.1</ns0:v>
      </ns0:c>
      <ns0:c r="C62" t="inlineStr" s="0">
        <ns0:is>
          <ns0:t>Natural B&amp;S feel</ns0:t>
        </ns0:is>
      </ns0:c>
    </ns0:row>
    <ns0:row r="63">
      <ns0:c r="A63" t="inlineStr" s="0">
        <ns0:is>
          <ns0:t>Quick Fade</ns0:t>
        </ns0:is>
      </ns0:c>
      <ns0:c r="B63" s="0">
        <ns0:v>0.15</ns0:v>
      </ns0:c>
      <ns0:c r="C63" t="inlineStr" s="0">
        <ns0:is>
          <ns0:t>Quick transition</ns0:t>
        </ns0:is>
      </ns0:c>
    </ns0:row>
    <ns0:row r="64">
      <ns0:c r="A64" t="inlineStr" s="0">
        <ns0:is>
          <ns0:t>Medium Fade</ns0:t>
        </ns0:is>
      </ns0:c>
      <ns0:c r="B64" s="0">
        <ns0:v>0.2</ns0:v>
      </ns0:c>
      <ns0:c r="C64" t="inlineStr" s="0">
        <ns0:is>
          <ns0:t>Moderate transition</ns0:t>
        </ns0:is>
      </ns0:c>
    </ns0:row>
    <ns0:row r="65">
      <ns0:c r="A65" t="inlineStr" s="0">
        <ns0:is>
          <ns0:t>Long Fade</ns0:t>
        </ns0:is>
      </ns0:c>
      <ns0:c r="B65" s="0">
        <ns0:v>0.3</ns0:v>
      </ns0:c>
      <ns0:c r="C65" t="inlineStr" s="0">
        <ns0:is>
          <ns0:t>Slow transition</ns0:t>
        </ns0:is>
      </ns0:c>
    </ns0:row>
    <ns0:row r="66">
      <ns0:c r="A66" t="inlineStr" s="0">
        <ns0:is>
          <ns0:t>Very Long Fade</ns0:t>
        </ns0:is>
      </ns0:c>
      <ns0:c r="B66" s="0">
        <ns0:v>0.4</ns0:v>
      </ns0:c>
      <ns0:c r="C66" t="inlineStr" s="0">
        <ns0:is>
          <ns0:t>Very gradual transition</ns0:t>
        </ns0:is>
      </ns0:c>
    </ns0:row>
  </ns0:sheetData>
</ns0:worksheet>
</file>