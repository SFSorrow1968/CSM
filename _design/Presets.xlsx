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 ns1:r="http://schemas.openxmlformats.org/officeDocument/2006/relationships">
  <ns0:sheets>
    <ns0:sheet name="Presets" sheetId="1" ns1:id="rId1"/>
  </ns0:sheets>
</ns0: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cols>
    <ns0:col min="1" max="1" width="15" customWidth="1"/>
    <ns0:col min="2" max="2" width="8" customWidth="1"/>
    <ns0:col min="3" max="3" width="10" customWidth="1"/>
    <ns0:col min="4" max="4" width="10" customWidth="1"/>
    <ns0:col min="5" max="5" width="10" customWidth="1"/>
    <ns0:col min="6" max="6" width="10" customWidth="1"/>
    <ns0:col min="7" max="7" width="10" customWidth="1"/>
    <ns0:col min="8" max="8" width="10" customWidth="1"/>
  </ns0:cols>
  <ns0:sheetData>
    <ns0:row r="1">
      <ns0:c r="A1" t="inlineStr" s="2">
        <ns0:is>
          <ns0:t>INTENSITY PRESET - Time Scale</ns0:t>
        </ns0:is>
      </ns0:c>
    </ns0:row>
    <ns0:row r="2"/>
    <ns0:row r="3">
      <ns0:c r="C3" s="0">
        <ns0:v>1.5</ns0:v>
      </ns0:c>
      <ns0:c r="D3" s="0">
        <ns0:v>1.0</ns0:v>
      </ns0:c>
      <ns0:c r="E3" s="0">
        <ns0:v>0.8</ns0:v>
      </ns0:c>
      <ns0:c r="F3" s="0">
        <ns0:v>0.5</ns0:v>
      </ns0:c>
      <ns0:c r="G3" s="0">
        <ns0:v>0.3</ns0:v>
      </ns0:c>
    </ns0:row>
    <ns0:row r="4">
      <ns0:c r="A4" t="inlineStr" s="4">
        <ns0:is>
          <ns0:t>Trigger</ns0:t>
        </ns0:is>
      </ns0:c>
      <ns0:c r="B4" t="inlineStr" s="4">
        <ns0:is>
          <ns0:t>Base</ns0:t>
        </ns0:is>
      </ns0:c>
      <ns0:c r="C4" t="inlineStr" s="4">
        <ns0:is>
          <ns0:t>Subtle</ns0:t>
        </ns0:is>
      </ns0:c>
      <ns0:c r="D4" t="inlineStr" s="4">
        <ns0:is>
          <ns0:t>Standard</ns0:t>
        </ns0:is>
      </ns0:c>
      <ns0:c r="E4" t="inlineStr" s="4">
        <ns0:is>
          <ns0:t>Dramatic</ns0:t>
        </ns0:is>
      </ns0:c>
      <ns0:c r="F4" t="inlineStr" s="4">
        <ns0:is>
          <ns0:t>Cinematic</ns0:t>
        </ns0:is>
      </ns0:c>
      <ns0:c r="G4" t="inlineStr" s="4">
        <ns0:is>
          <ns0:t>Epic</ns0:t>
        </ns0:is>
      </ns0:c>
    </ns0:row>
    <ns0:row r="5">
      <ns0:c r="A5" t="inlineStr" s="0">
        <ns0:is>
          <ns0:t>Parry</ns0:t>
        </ns0:is>
      </ns0:c>
      <ns0:c r="B5" s="0">
        <ns0:v>0.34</ns0:v>
      </ns0:c>
      <ns0:c r="C5" s="0">
        <ns0:f>ROUND(B5*C$3,2)</ns0:f>
      </ns0:c>
      <ns0:c r="D5" s="0">
        <ns0:f>ROUND(B5*D$3,2)</ns0:f>
      </ns0:c>
      <ns0:c r="E5" s="0">
        <ns0:f>ROUND(B5*E$3,2)</ns0:f>
      </ns0:c>
      <ns0:c r="F5" s="0">
        <ns0:f>ROUND(B5*F$3,2)</ns0:f>
      </ns0:c>
      <ns0:c r="G5" s="0">
        <ns0:f>ROUND(B5*G$3,2)</ns0:f>
      </ns0:c>
    </ns0:row>
    <ns0:row r="6">
      <ns0:c r="A6" t="inlineStr" s="0">
        <ns0:is>
          <ns0:t>Dismemberment</ns0:t>
        </ns0:is>
      </ns0:c>
      <ns0:c r="B6" s="0">
        <ns0:v>0.3</ns0:v>
      </ns0:c>
      <ns0:c r="C6" s="0">
        <ns0:f>ROUND(B6*C$3,2)</ns0:f>
      </ns0:c>
      <ns0:c r="D6" s="0">
        <ns0:f>ROUND(B6*D$3,2)</ns0:f>
      </ns0:c>
      <ns0:c r="E6" s="0">
        <ns0:f>ROUND(B6*E$3,2)</ns0:f>
      </ns0:c>
      <ns0:c r="F6" s="0">
        <ns0:f>ROUND(B6*F$3,2)</ns0:f>
      </ns0:c>
      <ns0:c r="G6" s="0">
        <ns0:f>ROUND(B6*G$3,2)</ns0:f>
      </ns0:c>
    </ns0:row>
    <ns0:row r="7">
      <ns0:c r="A7" t="inlineStr" s="0">
        <ns0:is>
          <ns0:t>Basic Kill</ns0:t>
        </ns0:is>
      </ns0:c>
      <ns0:c r="B7" s="0">
        <ns0:v>0.28</ns0:v>
      </ns0:c>
      <ns0:c r="C7" s="0">
        <ns0:f>ROUND(B7*C$3,2)</ns0:f>
      </ns0:c>
      <ns0:c r="D7" s="0">
        <ns0:f>ROUND(B7*D$3,2)</ns0:f>
      </ns0:c>
      <ns0:c r="E7" s="0">
        <ns0:f>ROUND(B7*E$3,2)</ns0:f>
      </ns0:c>
      <ns0:c r="F7" s="0">
        <ns0:f>ROUND(B7*F$3,2)</ns0:f>
      </ns0:c>
      <ns0:c r="G7" s="0">
        <ns0:f>ROUND(B7*G$3,2)</ns0:f>
      </ns0:c>
    </ns0:row>
    <ns0:row r="8">
      <ns0:c r="A8" t="inlineStr" s="0">
        <ns0:is>
          <ns0:t>Last Enemy</ns0:t>
        </ns0:is>
      </ns0:c>
      <ns0:c r="B8" s="0">
        <ns0:v>0.26</ns0:v>
      </ns0:c>
      <ns0:c r="C8" s="0">
        <ns0:f>ROUND(B8*C$3,2)</ns0:f>
      </ns0:c>
      <ns0:c r="D8" s="0">
        <ns0:f>ROUND(B8*D$3,2)</ns0:f>
      </ns0:c>
      <ns0:c r="E8" s="0">
        <ns0:f>ROUND(B8*E$3,2)</ns0:f>
      </ns0:c>
      <ns0:c r="F8" s="0">
        <ns0:f>ROUND(B8*F$3,2)</ns0:f>
      </ns0:c>
      <ns0:c r="G8" s="0">
        <ns0:f>ROUND(B8*G$3,2)</ns0:f>
      </ns0:c>
    </ns0:row>
    <ns0:row r="9">
      <ns0:c r="A9" t="inlineStr" s="0">
        <ns0:is>
          <ns0:t>Critical</ns0:t>
        </ns0:is>
      </ns0:c>
      <ns0:c r="B9" s="0">
        <ns0:v>0.25</ns0:v>
      </ns0:c>
      <ns0:c r="C9" s="0">
        <ns0:f>ROUND(B9*C$3,2)</ns0:f>
      </ns0:c>
      <ns0:c r="D9" s="0">
        <ns0:f>ROUND(B9*D$3,2)</ns0:f>
      </ns0:c>
      <ns0:c r="E9" s="0">
        <ns0:f>ROUND(B9*E$3,2)</ns0:f>
      </ns0:c>
      <ns0:c r="F9" s="0">
        <ns0:f>ROUND(B9*F$3,2)</ns0:f>
      </ns0:c>
      <ns0:c r="G9" s="0">
        <ns0:f>ROUND(B9*G$3,2)</ns0:f>
      </ns0:c>
    </ns0:row>
    <ns0:row r="10">
      <ns0:c r="A10" t="inlineStr" s="0">
        <ns0:is>
          <ns0:t>Decapitation</ns0:t>
        </ns0:is>
      </ns0:c>
      <ns0:c r="B10" s="0">
        <ns0:v>0.23</ns0:v>
      </ns0:c>
      <ns0:c r="C10" s="0">
        <ns0:f>ROUND(B10*C$3,2)</ns0:f>
      </ns0:c>
      <ns0:c r="D10" s="0">
        <ns0:f>ROUND(B10*D$3,2)</ns0:f>
      </ns0:c>
      <ns0:c r="E10" s="0">
        <ns0:f>ROUND(B10*E$3,2)</ns0:f>
      </ns0:c>
      <ns0:c r="F10" s="0">
        <ns0:f>ROUND(B10*F$3,2)</ns0:f>
      </ns0:c>
      <ns0:c r="G10" s="0">
        <ns0:f>ROUND(B10*G$3,2)</ns0:f>
      </ns0:c>
    </ns0:row>
    <ns0:row r="11">
      <ns0:c r="A11" t="inlineStr" s="0">
        <ns0:is>
          <ns0:t>Last Stand</ns0:t>
        </ns0:is>
      </ns0:c>
      <ns0:c r="B11" s="0">
        <ns0:v>0.3</ns0:v>
      </ns0:c>
      <ns0:c r="C11" s="0">
        <ns0:f>ROUND(B11*C$3,2)</ns0:f>
      </ns0:c>
      <ns0:c r="D11" s="0">
        <ns0:f>ROUND(B11*D$3,2)</ns0:f>
      </ns0:c>
      <ns0:c r="E11" s="0">
        <ns0:f>ROUND(B11*E$3,2)</ns0:f>
      </ns0:c>
      <ns0:c r="F11" s="0">
        <ns0:f>ROUND(B11*F$3,2)</ns0:f>
      </ns0:c>
      <ns0:c r="G11" s="0">
        <ns0:f>ROUND(B11*G$3,2)</ns0:f>
      </ns0:c>
    </ns0:row>
    <ns0:row r="12"/>
    <ns0:row r="13"/>
    <ns0:row r="14">
      <ns0:c r="A14" t="inlineStr" s="2">
        <ns0:is>
          <ns0:t>DURATION PRESET</ns0:t>
        </ns0:is>
      </ns0:c>
    </ns0:row>
    <ns0:row r="15"/>
    <ns0:row r="16">
      <ns0:c r="C16" s="0">
        <ns0:v>0.35</ns0:v>
      </ns0:c>
      <ns0:c r="D16" s="0">
        <ns0:v>0.7</ns0:v>
      </ns0:c>
      <ns0:c r="E16" s="0">
        <ns0:v>1.0</ns0:v>
      </ns0:c>
      <ns0:c r="F16" s="0">
        <ns0:v>1.35</ns0:v>
      </ns0:c>
      <ns0:c r="G16" s="0">
        <ns0:v>1.7</ns0:v>
      </ns0:c>
    </ns0:row>
    <ns0:row r="17">
      <ns0:c r="A17" t="inlineStr" s="4">
        <ns0:is>
          <ns0:t>Trigger</ns0:t>
        </ns0:is>
      </ns0:c>
      <ns0:c r="B17" t="inlineStr" s="4">
        <ns0:is>
          <ns0:t>Base</ns0:t>
        </ns0:is>
      </ns0:c>
      <ns0:c r="C17" t="inlineStr" s="4">
        <ns0:is>
          <ns0:t>Very Short</ns0:t>
        </ns0:is>
      </ns0:c>
      <ns0:c r="D17" t="inlineStr" s="4">
        <ns0:is>
          <ns0:t>Short</ns0:t>
        </ns0:is>
      </ns0:c>
      <ns0:c r="E17" t="inlineStr" s="4">
        <ns0:is>
          <ns0:t>Standard</ns0:t>
        </ns0:is>
      </ns0:c>
      <ns0:c r="F17" t="inlineStr" s="4">
        <ns0:is>
          <ns0:t>Long</ns0:t>
        </ns0:is>
      </ns0:c>
      <ns0:c r="G17" t="inlineStr" s="4">
        <ns0:is>
          <ns0:t>Extended</ns0:t>
        </ns0:is>
      </ns0:c>
    </ns0:row>
    <ns0:row r="18">
      <ns0:c r="A18" t="inlineStr" s="0">
        <ns0:is>
          <ns0:t>Parry</ns0:t>
        </ns0:is>
      </ns0:c>
      <ns0:c r="B18" s="0">
        <ns0:v>1.5</ns0:v>
      </ns0:c>
      <ns0:c r="C18" s="0">
        <ns0:f>ROUND(B18*C$16,2)</ns0:f>
      </ns0:c>
      <ns0:c r="D18" s="0">
        <ns0:f>ROUND(B18*D$16,2)</ns0:f>
      </ns0:c>
      <ns0:c r="E18" s="0">
        <ns0:f>ROUND(B18*E$16,2)</ns0:f>
      </ns0:c>
      <ns0:c r="F18" s="0">
        <ns0:f>ROUND(B18*F$16,2)</ns0:f>
      </ns0:c>
      <ns0:c r="G18" s="0">
        <ns0:f>ROUND(B18*G$16,2)</ns0:f>
      </ns0:c>
    </ns0:row>
    <ns0:row r="19">
      <ns0:c r="A19" t="inlineStr" s="0">
        <ns0:is>
          <ns0:t>Dismemberment</ns0:t>
        </ns0:is>
      </ns0:c>
      <ns0:c r="B19" s="0">
        <ns0:v>2.0</ns0:v>
      </ns0:c>
      <ns0:c r="C19" s="0">
        <ns0:f>ROUND(B19*C$16,2)</ns0:f>
      </ns0:c>
      <ns0:c r="D19" s="0">
        <ns0:f>ROUND(B19*D$16,2)</ns0:f>
      </ns0:c>
      <ns0:c r="E19" s="0">
        <ns0:f>ROUND(B19*E$16,2)</ns0:f>
      </ns0:c>
      <ns0:c r="F19" s="0">
        <ns0:f>ROUND(B19*F$16,2)</ns0:f>
      </ns0:c>
      <ns0:c r="G19" s="0">
        <ns0:f>ROUND(B19*G$16,2)</ns0:f>
      </ns0:c>
    </ns0:row>
    <ns0:row r="20">
      <ns0:c r="A20" t="inlineStr" s="0">
        <ns0:is>
          <ns0:t>Basic Kill</ns0:t>
        </ns0:is>
      </ns0:c>
      <ns0:c r="B20" s="0">
        <ns0:v>2.5</ns0:v>
      </ns0:c>
      <ns0:c r="C20" s="0">
        <ns0:f>ROUND(B20*C$16,2)</ns0:f>
      </ns0:c>
      <ns0:c r="D20" s="0">
        <ns0:f>ROUND(B20*D$16,2)</ns0:f>
      </ns0:c>
      <ns0:c r="E20" s="0">
        <ns0:f>ROUND(B20*E$16,2)</ns0:f>
      </ns0:c>
      <ns0:c r="F20" s="0">
        <ns0:f>ROUND(B20*F$16,2)</ns0:f>
      </ns0:c>
      <ns0:c r="G20" s="0">
        <ns0:f>ROUND(B20*G$16,2)</ns0:f>
      </ns0:c>
    </ns0:row>
    <ns0:row r="21">
      <ns0:c r="A21" t="inlineStr" s="0">
        <ns0:is>
          <ns0:t>Last Enemy</ns0:t>
        </ns0:is>
      </ns0:c>
      <ns0:c r="B21" s="0">
        <ns0:v>2.75</ns0:v>
      </ns0:c>
      <ns0:c r="C21" s="0">
        <ns0:f>ROUND(B21*C$16,2)</ns0:f>
      </ns0:c>
      <ns0:c r="D21" s="0">
        <ns0:f>ROUND(B21*D$16,2)</ns0:f>
      </ns0:c>
      <ns0:c r="E21" s="0">
        <ns0:f>ROUND(B21*E$16,2)</ns0:f>
      </ns0:c>
      <ns0:c r="F21" s="0">
        <ns0:f>ROUND(B21*F$16,2)</ns0:f>
      </ns0:c>
      <ns0:c r="G21" s="0">
        <ns0:f>ROUND(B21*G$16,2)</ns0:f>
      </ns0:c>
    </ns0:row>
    <ns0:row r="22">
      <ns0:c r="A22" t="inlineStr" s="0">
        <ns0:is>
          <ns0:t>Critical</ns0:t>
        </ns0:is>
      </ns0:c>
      <ns0:c r="B22" s="0">
        <ns0:v>3.0</ns0:v>
      </ns0:c>
      <ns0:c r="C22" s="0">
        <ns0:f>ROUND(B22*C$16,2)</ns0:f>
      </ns0:c>
      <ns0:c r="D22" s="0">
        <ns0:f>ROUND(B22*D$16,2)</ns0:f>
      </ns0:c>
      <ns0:c r="E22" s="0">
        <ns0:f>ROUND(B22*E$16,2)</ns0:f>
      </ns0:c>
      <ns0:c r="F22" s="0">
        <ns0:f>ROUND(B22*F$16,2)</ns0:f>
      </ns0:c>
      <ns0:c r="G22" s="0">
        <ns0:f>ROUND(B22*G$16,2)</ns0:f>
      </ns0:c>
    </ns0:row>
    <ns0:row r="23">
      <ns0:c r="A23" t="inlineStr" s="0">
        <ns0:is>
          <ns0:t>Decapitation</ns0:t>
        </ns0:is>
      </ns0:c>
      <ns0:c r="B23" s="0">
        <ns0:v>3.25</ns0:v>
      </ns0:c>
      <ns0:c r="C23" s="0">
        <ns0:f>ROUND(B23*C$16,2)</ns0:f>
      </ns0:c>
      <ns0:c r="D23" s="0">
        <ns0:f>ROUND(B23*D$16,2)</ns0:f>
      </ns0:c>
      <ns0:c r="E23" s="0">
        <ns0:f>ROUND(B23*E$16,2)</ns0:f>
      </ns0:c>
      <ns0:c r="F23" s="0">
        <ns0:f>ROUND(B23*F$16,2)</ns0:f>
      </ns0:c>
      <ns0:c r="G23" s="0">
        <ns0:f>ROUND(B23*G$16,2)</ns0:f>
      </ns0:c>
    </ns0:row>
    <ns0:row r="24">
      <ns0:c r="A24" t="inlineStr" s="0">
        <ns0:is>
          <ns0:t>Last Stand</ns0:t>
        </ns0:is>
      </ns0:c>
      <ns0:c r="B24" s="0">
        <ns0:v>4.0</ns0:v>
      </ns0:c>
      <ns0:c r="C24" s="0">
        <ns0:f>ROUND(B24*C$16,2)</ns0:f>
      </ns0:c>
      <ns0:c r="D24" s="0">
        <ns0:f>ROUND(B24*D$16,2)</ns0:f>
      </ns0:c>
      <ns0:c r="E24" s="0">
        <ns0:f>ROUND(B24*E$16,2)</ns0:f>
      </ns0:c>
      <ns0:c r="F24" s="0">
        <ns0:f>ROUND(B24*F$16,2)</ns0:f>
      </ns0:c>
      <ns0:c r="G24" s="0">
        <ns0:f>ROUND(B24*G$16,2)</ns0:f>
      </ns0:c>
    </ns0:row>
    <ns0:row r="25"/>
    <ns0:row r="26"/>
    <ns0:row r="27">
      <ns0:c r="A27" t="inlineStr" s="2">
        <ns0:is>
          <ns0:t>COOLDOWN PRESET</ns0:t>
        </ns0:is>
      </ns0:c>
    </ns0:row>
    <ns0:row r="28"/>
    <ns0:row r="29">
      <ns0:c r="C29" s="0">
        <ns0:v>0</ns0:v>
      </ns0:c>
      <ns0:c r="D29" s="0">
        <ns0:v>0.6</ns0:v>
      </ns0:c>
      <ns0:c r="E29" s="0">
        <ns0:v>1.0</ns0:v>
      </ns0:c>
      <ns0:c r="F29" s="0">
        <ns0:v>2.0</ns0:v>
      </ns0:c>
      <ns0:c r="G29" s="0">
        <ns0:v>3.0</ns0:v>
      </ns0:c>
    </ns0:row>
    <ns0:row r="30">
      <ns0:c r="A30" t="inlineStr" s="4">
        <ns0:is>
          <ns0:t>Trigger</ns0:t>
        </ns0:is>
      </ns0:c>
      <ns0:c r="B30" t="inlineStr" s="4">
        <ns0:is>
          <ns0:t>Base</ns0:t>
        </ns0:is>
      </ns0:c>
      <ns0:c r="C30" t="inlineStr" s="4">
        <ns0:is>
          <ns0:t>Off</ns0:t>
        </ns0:is>
      </ns0:c>
      <ns0:c r="D30" t="inlineStr" s="4">
        <ns0:is>
          <ns0:t>Short</ns0:t>
        </ns0:is>
      </ns0:c>
      <ns0:c r="E30" t="inlineStr" s="4">
        <ns0:is>
          <ns0:t>Standard</ns0:t>
        </ns0:is>
      </ns0:c>
      <ns0:c r="F30" t="inlineStr" s="4">
        <ns0:is>
          <ns0:t>Long</ns0:t>
        </ns0:is>
      </ns0:c>
      <ns0:c r="G30" t="inlineStr" s="4">
        <ns0:is>
          <ns0:t>Extended</ns0:t>
        </ns0:is>
      </ns0:c>
    </ns0:row>
    <ns0:row r="31">
      <ns0:c r="A31" t="inlineStr" s="0">
        <ns0:is>
          <ns0:t>Parry</ns0:t>
        </ns0:is>
      </ns0:c>
      <ns0:c r="B31" s="0">
        <ns0:v>5</ns0:v>
      </ns0:c>
      <ns0:c r="C31" s="0">
        <ns0:f>ROUND(B31*C$29,2)</ns0:f>
      </ns0:c>
      <ns0:c r="D31" s="0">
        <ns0:f>ROUND(B31*D$29,2)</ns0:f>
      </ns0:c>
      <ns0:c r="E31" s="0">
        <ns0:f>ROUND(B31*E$29,2)</ns0:f>
      </ns0:c>
      <ns0:c r="F31" s="0">
        <ns0:f>ROUND(B31*F$29,2)</ns0:f>
      </ns0:c>
      <ns0:c r="G31" s="0">
        <ns0:f>ROUND(B31*G$29,2)</ns0:f>
      </ns0:c>
    </ns0:row>
    <ns0:row r="32">
      <ns0:c r="A32" t="inlineStr" s="0">
        <ns0:is>
          <ns0:t>Basic Kill</ns0:t>
        </ns0:is>
      </ns0:c>
      <ns0:c r="B32" s="0">
        <ns0:v>10</ns0:v>
      </ns0:c>
      <ns0:c r="C32" s="0">
        <ns0:f>ROUND(B32*C$29,2)</ns0:f>
      </ns0:c>
      <ns0:c r="D32" s="0">
        <ns0:f>ROUND(B32*D$29,2)</ns0:f>
      </ns0:c>
      <ns0:c r="E32" s="0">
        <ns0:f>ROUND(B32*E$29,2)</ns0:f>
      </ns0:c>
      <ns0:c r="F32" s="0">
        <ns0:f>ROUND(B32*F$29,2)</ns0:f>
      </ns0:c>
      <ns0:c r="G32" s="0">
        <ns0:f>ROUND(B32*G$29,2)</ns0:f>
      </ns0:c>
    </ns0:row>
    <ns0:row r="33">
      <ns0:c r="A33" t="inlineStr" s="0">
        <ns0:is>
          <ns0:t>Dismemberment</ns0:t>
        </ns0:is>
      </ns0:c>
      <ns0:c r="B33" s="0">
        <ns0:v>10</ns0:v>
      </ns0:c>
      <ns0:c r="C33" s="0">
        <ns0:f>ROUND(B33*C$29,2)</ns0:f>
      </ns0:c>
      <ns0:c r="D33" s="0">
        <ns0:f>ROUND(B33*D$29,2)</ns0:f>
      </ns0:c>
      <ns0:c r="E33" s="0">
        <ns0:f>ROUND(B33*E$29,2)</ns0:f>
      </ns0:c>
      <ns0:c r="F33" s="0">
        <ns0:f>ROUND(B33*F$29,2)</ns0:f>
      </ns0:c>
      <ns0:c r="G33" s="0">
        <ns0:f>ROUND(B33*G$29,2)</ns0:f>
      </ns0:c>
    </ns0:row>
    <ns0:row r="34">
      <ns0:c r="A34" t="inlineStr" s="0">
        <ns0:is>
          <ns0:t>Critical</ns0:t>
        </ns0:is>
      </ns0:c>
      <ns0:c r="B34" s="0">
        <ns0:v>10</ns0:v>
      </ns0:c>
      <ns0:c r="C34" s="0">
        <ns0:f>ROUND(B34*C$29,2)</ns0:f>
      </ns0:c>
      <ns0:c r="D34" s="0">
        <ns0:f>ROUND(B34*D$29,2)</ns0:f>
      </ns0:c>
      <ns0:c r="E34" s="0">
        <ns0:f>ROUND(B34*E$29,2)</ns0:f>
      </ns0:c>
      <ns0:c r="F34" s="0">
        <ns0:f>ROUND(B34*F$29,2)</ns0:f>
      </ns0:c>
      <ns0:c r="G34" s="0">
        <ns0:f>ROUND(B34*G$29,2)</ns0:f>
      </ns0:c>
    </ns0:row>
    <ns0:row r="35">
      <ns0:c r="A35" t="inlineStr" s="0">
        <ns0:is>
          <ns0:t>Decapitation</ns0:t>
        </ns0:is>
      </ns0:c>
      <ns0:c r="B35" s="0">
        <ns0:v>10</ns0:v>
      </ns0:c>
      <ns0:c r="C35" s="0">
        <ns0:f>ROUND(B35*C$29,2)</ns0:f>
      </ns0:c>
      <ns0:c r="D35" s="0">
        <ns0:f>ROUND(B35*D$29,2)</ns0:f>
      </ns0:c>
      <ns0:c r="E35" s="0">
        <ns0:f>ROUND(B35*E$29,2)</ns0:f>
      </ns0:c>
      <ns0:c r="F35" s="0">
        <ns0:f>ROUND(B35*F$29,2)</ns0:f>
      </ns0:c>
      <ns0:c r="G35" s="0">
        <ns0:f>ROUND(B35*G$29,2)</ns0:f>
      </ns0:c>
    </ns0:row>
    <ns0:row r="36">
      <ns0:c r="A36" t="inlineStr" s="0">
        <ns0:is>
          <ns0:t>Last Enemy</ns0:t>
        </ns0:is>
      </ns0:c>
      <ns0:c r="B36" s="0">
        <ns0:v>30</ns0:v>
      </ns0:c>
      <ns0:c r="C36" s="0">
        <ns0:f>ROUND(B36*C$29,2)</ns0:f>
      </ns0:c>
      <ns0:c r="D36" s="0">
        <ns0:f>ROUND(B36*D$29,2)</ns0:f>
      </ns0:c>
      <ns0:c r="E36" s="0">
        <ns0:f>ROUND(B36*E$29,2)</ns0:f>
      </ns0:c>
      <ns0:c r="F36" s="0">
        <ns0:f>ROUND(B36*F$29,2)</ns0:f>
      </ns0:c>
      <ns0:c r="G36" s="0">
        <ns0:f>ROUND(B36*G$29,2)</ns0:f>
      </ns0:c>
    </ns0:row>
    <ns0:row r="37">
      <ns0:c r="A37" t="inlineStr" s="0">
        <ns0:is>
          <ns0:t>Last Stand</ns0:t>
        </ns0:is>
      </ns0:c>
      <ns0:c r="B37" s="0">
        <ns0:v>90</ns0:v>
      </ns0:c>
      <ns0:c r="C37" s="0">
        <ns0:f>ROUND(B37*C$29,2)</ns0:f>
      </ns0:c>
      <ns0:c r="D37" s="0">
        <ns0:f>ROUND(B37*D$29,2)</ns0:f>
      </ns0:c>
      <ns0:c r="E37" s="0">
        <ns0:f>ROUND(B37*E$29,2)</ns0:f>
      </ns0:c>
      <ns0:c r="F37" s="0">
        <ns0:f>ROUND(B37*F$29,2)</ns0:f>
      </ns0:c>
      <ns0:c r="G37" s="0">
        <ns0:f>ROUND(B37*G$29,2)</ns0:f>
      </ns0:c>
    </ns0:row>
    <ns0:row r="38"/>
    <ns0:row r="39"/>
    <ns0:row r="40">
      <ns0:c r="A40" t="inlineStr" s="2">
        <ns0:is>
          <ns0:t>CHANCE PRESET (Off = always 100%)</ns0:t>
        </ns0:is>
      </ns0:c>
    </ns0:row>
    <ns0:row r="41"/>
    <ns0:row r="42">
      <ns0:c r="C42" s="0">
        <ns0:v>1.0</ns0:v>
      </ns0:c>
      <ns0:c r="D42" s="0">
        <ns0:v>0.5</ns0:v>
      </ns0:c>
      <ns0:c r="E42" s="0">
        <ns0:v>0.6</ns0:v>
      </ns0:c>
      <ns0:c r="F42" s="0">
        <ns0:v>1.0</ns0:v>
      </ns0:c>
      <ns0:c r="G42" s="0">
        <ns0:v>1.4</ns0:v>
      </ns0:c>
    </ns0:row>
    <ns0:row r="43">
      <ns0:c r="A43" t="inlineStr" s="4">
        <ns0:is>
          <ns0:t>Trigger</ns0:t>
        </ns0:is>
      </ns0:c>
      <ns0:c r="B43" t="inlineStr" s="4">
        <ns0:is>
          <ns0:t>Base</ns0:t>
        </ns0:is>
      </ns0:c>
      <ns0:c r="C43" t="inlineStr" s="4">
        <ns0:is>
          <ns0:t>Off</ns0:t>
        </ns0:is>
      </ns0:c>
      <ns0:c r="D43" t="inlineStr" s="4">
        <ns0:is>
          <ns0:t>Very Rare</ns0:t>
        </ns0:is>
      </ns0:c>
      <ns0:c r="E43" t="inlineStr" s="4">
        <ns0:is>
          <ns0:t>Rare</ns0:t>
        </ns0:is>
      </ns0:c>
      <ns0:c r="F43" t="inlineStr" s="4">
        <ns0:is>
          <ns0:t>Standard</ns0:t>
        </ns0:is>
      </ns0:c>
      <ns0:c r="G43" t="inlineStr" s="4">
        <ns0:is>
          <ns0:t>Frequent</ns0:t>
        </ns0:is>
      </ns0:c>
    </ns0:row>
    <ns0:row r="44">
      <ns0:c r="A44" t="inlineStr" s="0">
        <ns0:is>
          <ns0:t>Basic Kill</ns0:t>
        </ns0:is>
      </ns0:c>
      <ns0:c r="B44" s="0">
        <ns0:v>0.25</ns0:v>
      </ns0:c>
      <ns0:c r="C44" s="0">
        <ns0:f>1</ns0:f>
      </ns0:c>
      <ns0:c r="D44" s="0">
        <ns0:f>ROUND(MIN(B44*D$42,1),2)</ns0:f>
      </ns0:c>
      <ns0:c r="E44" s="0">
        <ns0:f>ROUND(MIN(B44*E$42,1),2)</ns0:f>
      </ns0:c>
      <ns0:c r="F44" s="0">
        <ns0:f>ROUND(MIN(B44*F$42,1),2)</ns0:f>
      </ns0:c>
      <ns0:c r="G44" s="0">
        <ns0:f>ROUND(MIN(B44*G$42,1),2)</ns0:f>
      </ns0:c>
    </ns0:row>
    <ns0:row r="45">
      <ns0:c r="A45" t="inlineStr" s="0">
        <ns0:is>
          <ns0:t>Parry</ns0:t>
        </ns0:is>
      </ns0:c>
      <ns0:c r="B45" s="0">
        <ns0:v>0.5</ns0:v>
      </ns0:c>
      <ns0:c r="C45" s="0">
        <ns0:f>1</ns0:f>
      </ns0:c>
      <ns0:c r="D45" s="0">
        <ns0:f>ROUND(MIN(B45*D$42,1),2)</ns0:f>
      </ns0:c>
      <ns0:c r="E45" s="0">
        <ns0:f>ROUND(MIN(B45*E$42,1),2)</ns0:f>
      </ns0:c>
      <ns0:c r="F45" s="0">
        <ns0:f>ROUND(MIN(B45*F$42,1),2)</ns0:f>
      </ns0:c>
      <ns0:c r="G45" s="0">
        <ns0:f>ROUND(MIN(B45*G$42,1),2)</ns0:f>
      </ns0:c>
    </ns0:row>
    <ns0:row r="46">
      <ns0:c r="A46" t="inlineStr" s="0">
        <ns0:is>
          <ns0:t>Dismemberment</ns0:t>
        </ns0:is>
      </ns0:c>
      <ns0:c r="B46" s="0">
        <ns0:v>0.3</ns0:v>
      </ns0:c>
      <ns0:c r="C46" s="0">
        <ns0:f>1</ns0:f>
      </ns0:c>
      <ns0:c r="D46" s="0">
        <ns0:f>ROUND(MIN(B46*D$42,1),2)</ns0:f>
      </ns0:c>
      <ns0:c r="E46" s="0">
        <ns0:f>ROUND(MIN(B46*E$42,1),2)</ns0:f>
      </ns0:c>
      <ns0:c r="F46" s="0">
        <ns0:f>ROUND(MIN(B46*F$42,1),2)</ns0:f>
      </ns0:c>
      <ns0:c r="G46" s="0">
        <ns0:f>ROUND(MIN(B46*G$42,1),2)</ns0:f>
      </ns0:c>
    </ns0:row>
    <ns0:row r="47">
      <ns0:c r="A47" t="inlineStr" s="0">
        <ns0:is>
          <ns0:t>Critical</ns0:t>
        </ns0:is>
      </ns0:c>
      <ns0:c r="B47" s="0">
        <ns0:v>0.75</ns0:v>
      </ns0:c>
      <ns0:c r="C47" s="0">
        <ns0:f>1</ns0:f>
      </ns0:c>
      <ns0:c r="D47" s="0">
        <ns0:f>ROUND(MIN(B47*D$42,1),2)</ns0:f>
      </ns0:c>
      <ns0:c r="E47" s="0">
        <ns0:f>ROUND(MIN(B47*E$42,1),2)</ns0:f>
      </ns0:c>
      <ns0:c r="F47" s="0">
        <ns0:f>ROUND(MIN(B47*F$42,1),2)</ns0:f>
      </ns0:c>
      <ns0:c r="G47" s="0">
        <ns0:f>ROUND(MIN(B47*G$42,1),2)</ns0:f>
      </ns0:c>
    </ns0:row>
    <ns0:row r="48">
      <ns0:c r="A48" t="inlineStr" s="0">
        <ns0:is>
          <ns0:t>Decapitation</ns0:t>
        </ns0:is>
      </ns0:c>
      <ns0:c r="B48" s="0">
        <ns0:v>0.9</ns0:v>
      </ns0:c>
      <ns0:c r="C48" s="0">
        <ns0:f>1</ns0:f>
      </ns0:c>
      <ns0:c r="D48" s="0">
        <ns0:f>ROUND(MIN(B48*D$42,1),2)</ns0:f>
      </ns0:c>
      <ns0:c r="E48" s="0">
        <ns0:f>ROUND(MIN(B48*E$42,1),2)</ns0:f>
      </ns0:c>
      <ns0:c r="F48" s="0">
        <ns0:f>ROUND(MIN(B48*F$42,1),2)</ns0:f>
      </ns0:c>
      <ns0:c r="G48" s="0">
        <ns0:f>ROUND(MIN(B48*G$42,1),2)</ns0:f>
      </ns0:c>
    </ns0:row>
    <ns0:row r="49">
      <ns0:c r="A49" t="inlineStr" s="0">
        <ns0:is>
          <ns0:t>Last Enemy</ns0:t>
        </ns0:is>
      </ns0:c>
      <ns0:c r="B49" s="0">
        <ns0:v>1.0</ns0:v>
      </ns0:c>
      <ns0:c r="C49" s="0">
        <ns0:f>1</ns0:f>
      </ns0:c>
      <ns0:c r="D49" s="0">
        <ns0:f>ROUND(MIN(B49*D$42,1),2)</ns0:f>
      </ns0:c>
      <ns0:c r="E49" s="0">
        <ns0:f>ROUND(MIN(B49*E$42,1),2)</ns0:f>
      </ns0:c>
      <ns0:c r="F49" s="0">
        <ns0:f>ROUND(MIN(B49*F$42,1),2)</ns0:f>
      </ns0:c>
      <ns0:c r="G49" s="0">
        <ns0:f>ROUND(MIN(B49*G$42,1),2)</ns0:f>
      </ns0:c>
    </ns0:row>
    <ns0:row r="50">
      <ns0:c r="A50" t="inlineStr" s="0">
        <ns0:is>
          <ns0:t>Last Stand</ns0:t>
        </ns0:is>
      </ns0:c>
      <ns0:c r="B50" s="0">
        <ns0:v>1.0</ns0:v>
      </ns0:c>
      <ns0:c r="C50" s="0">
        <ns0:f>1</ns0:f>
      </ns0:c>
      <ns0:c r="D50" s="0">
        <ns0:f>ROUND(MIN(B50*D$42,1),2)</ns0:f>
      </ns0:c>
      <ns0:c r="E50" s="0">
        <ns0:f>ROUND(MIN(B50*E$42,1),2)</ns0:f>
      </ns0:c>
      <ns0:c r="F50" s="0">
        <ns0:f>ROUND(MIN(B50*F$42,1),2)</ns0:f>
      </ns0:c>
      <ns0:c r="G50" s="0">
        <ns0:f>ROUND(MIN(B50*G$42,1),2)</ns0:f>
      </ns0:c>
    </ns0:row>
    <ns0:row r="51"/>
    <ns0:row r="52"/>
    <ns0:row r="53">
      <ns0:c r="A53" t="inlineStr" s="2">
        <ns0:is>
          <ns0:t>FADE PRESETS - Smoothing Percentages</ns0:t>
        </ns0:is>
      </ns0:c>
    </ns0:row>
    <ns0:row r="54"/>
    <ns0:row r="55">
      <ns0:c r="A55" t="inlineStr" s="4">
        <ns0:is>
          <ns0:t>Preset</ns0:t>
        </ns0:is>
      </ns0:c>
      <ns0:c r="B55" t="inlineStr" s="4">
        <ns0:is>
          <ns0:t>Smoothing %</ns0:t>
        </ns0:is>
      </ns0:c>
      <ns0:c r="C55" t="inlineStr" s="4">
        <ns0:is>
          <ns0:t>Description</ns0:t>
        </ns0:is>
      </ns0:c>
    </ns0:row>
    <ns0:row r="56">
      <ns0:c r="A56" t="inlineStr" s="0">
        <ns0:is>
          <ns0:t>Instant</ns0:t>
        </ns0:is>
      </ns0:c>
      <ns0:c r="B56" s="0">
        <ns0:v>0.0</ns0:v>
      </ns0:c>
      <ns0:c r="C56" t="inlineStr" s="0">
        <ns0:is>
          <ns0:t>No transition, immediate</ns0:t>
        </ns0:is>
      </ns0:c>
    </ns0:row>
    <ns0:row r="57">
      <ns0:c r="A57" t="inlineStr" s="0">
        <ns0:is>
          <ns0:t>Default</ns0:t>
        </ns0:is>
      </ns0:c>
      <ns0:c r="B57" s="0">
        <ns0:v>0.1</ns0:v>
      </ns0:c>
      <ns0:c r="C57" t="inlineStr" s="0">
        <ns0:is>
          <ns0:t>Natural B&amp;S feel</ns0:t>
        </ns0:is>
      </ns0:c>
    </ns0:row>
    <ns0:row r="58">
      <ns0:c r="A58" t="inlineStr" s="0">
        <ns0:is>
          <ns0:t>Quick Fade</ns0:t>
        </ns0:is>
      </ns0:c>
      <ns0:c r="B58" s="0">
        <ns0:v>0.15</ns0:v>
      </ns0:c>
      <ns0:c r="C58" t="inlineStr" s="0">
        <ns0:is>
          <ns0:t>Quick transition</ns0:t>
        </ns0:is>
      </ns0:c>
    </ns0:row>
    <ns0:row r="59">
      <ns0:c r="A59" t="inlineStr" s="0">
        <ns0:is>
          <ns0:t>Medium Fade</ns0:t>
        </ns0:is>
      </ns0:c>
      <ns0:c r="B59" s="0">
        <ns0:v>0.2</ns0:v>
      </ns0:c>
      <ns0:c r="C59" t="inlineStr" s="0">
        <ns0:is>
          <ns0:t>Moderate transition</ns0:t>
        </ns0:is>
      </ns0:c>
    </ns0:row>
    <ns0:row r="60">
      <ns0:c r="A60" t="inlineStr" s="0">
        <ns0:is>
          <ns0:t>Long Fade</ns0:t>
        </ns0:is>
      </ns0:c>
      <ns0:c r="B60" s="0">
        <ns0:v>0.3</ns0:v>
      </ns0:c>
      <ns0:c r="C60" t="inlineStr" s="0">
        <ns0:is>
          <ns0:t>Slow transition</ns0:t>
        </ns0:is>
      </ns0:c>
    </ns0:row>
    <ns0:row r="61">
      <ns0:c r="A61" t="inlineStr" s="0">
        <ns0:is>
          <ns0:t>Very Long Fade</ns0:t>
        </ns0:is>
      </ns0:c>
      <ns0:c r="B61" s="0">
        <ns0:v>0.4</ns0:v>
      </ns0:c>
      <ns0:c r="C61" t="inlineStr" s="0">
        <ns0:is>
          <ns0:t>Very gradual transition</ns0:t>
        </ns0:is>
      </ns0:c>
    </ns0:row>
  </ns0:sheetData>
</ns0:worksheet>
</file>